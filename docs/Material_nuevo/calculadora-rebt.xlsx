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y Leyenda" sheetId="1" state="visible" r:id="rId1"/>
    <sheet xmlns:r="http://schemas.openxmlformats.org/officeDocument/2006/relationships" name="Puesta a Tierra" sheetId="2" state="visible" r:id="rId2"/>
    <sheet xmlns:r="http://schemas.openxmlformats.org/officeDocument/2006/relationships" name="Previsión de Cargas" sheetId="3" state="visible" r:id="rId3"/>
    <sheet xmlns:r="http://schemas.openxmlformats.org/officeDocument/2006/relationships" name="Cálculo de Secciones" sheetId="4" state="visible" r:id="rId4"/>
    <sheet xmlns:r="http://schemas.openxmlformats.org/officeDocument/2006/relationships" name="Autoconsumo y R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2">
    <numFmt numFmtId="164" formatCode="#,##0 &quot;Ω·m&quot;"/>
    <numFmt numFmtId="165" formatCode="0.0 &quot;m&quot;"/>
    <numFmt numFmtId="166" formatCode="0.00 &quot;Ω&quot;"/>
    <numFmt numFmtId="167" formatCode="0.0 &quot;Ω&quot;"/>
    <numFmt numFmtId="168" formatCode="#,##0 &quot;V&quot;"/>
    <numFmt numFmtId="169" formatCode="0.000 &quot;A&quot;"/>
    <numFmt numFmtId="170" formatCode="#,##0 &quot;A&quot;"/>
    <numFmt numFmtId="171" formatCode="0.00 &quot;m&quot;"/>
    <numFmt numFmtId="172" formatCode="#,##0 &quot;W&quot;"/>
    <numFmt numFmtId="173" formatCode="0.0"/>
    <numFmt numFmtId="174" formatCode="#,##0 &quot;m²&quot;"/>
    <numFmt numFmtId="175" formatCode="#,##0.0 &quot;kW&quot;"/>
    <numFmt numFmtId="176" formatCode="0.0%"/>
    <numFmt numFmtId="177" formatCode="0.00 &quot;V&quot;"/>
    <numFmt numFmtId="178" formatCode="0.000 &quot;mm²&quot;"/>
    <numFmt numFmtId="179" formatCode="0.0 &quot;mm²&quot;"/>
    <numFmt numFmtId="180" formatCode="0.0 &quot;A&quot;"/>
    <numFmt numFmtId="181" formatCode="0.00 &quot;s&quot;"/>
    <numFmt numFmtId="182" formatCode="0.00 &quot;mm²&quot;"/>
    <numFmt numFmtId="183" formatCode="#,##0 &quot;mm²&quot;"/>
    <numFmt numFmtId="184" formatCode="#,##0 &quot;°C&quot;"/>
    <numFmt numFmtId="185" formatCode="0.00 &quot;A&quot;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right" vertical="center"/>
    </xf>
    <xf numFmtId="0" fontId="2" fillId="0" borderId="1" pivotButton="0" quotePrefix="0" xfId="0"/>
    <xf numFmtId="0" fontId="4" fillId="0" borderId="1" pivotButton="0" quotePrefix="0" xfId="0"/>
    <xf numFmtId="165" fontId="4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7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69" fontId="4" fillId="4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70" fontId="4" fillId="4" borderId="1" applyAlignment="1" pivotButton="0" quotePrefix="0" xfId="0">
      <alignment horizontal="right" vertical="center"/>
    </xf>
    <xf numFmtId="171" fontId="4" fillId="5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72" fontId="4" fillId="4" borderId="1" applyAlignment="1" pivotButton="0" quotePrefix="0" xfId="0">
      <alignment horizontal="right" vertical="center"/>
    </xf>
    <xf numFmtId="173" fontId="4" fillId="5" borderId="1" applyAlignment="1" pivotButton="0" quotePrefix="0" xfId="0">
      <alignment horizontal="right" vertical="center"/>
    </xf>
    <xf numFmtId="172" fontId="4" fillId="5" borderId="1" applyAlignment="1" pivotButton="0" quotePrefix="0" xfId="0">
      <alignment horizontal="right" vertical="center"/>
    </xf>
    <xf numFmtId="174" fontId="4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72" fontId="4" fillId="0" borderId="1" applyAlignment="1" pivotButton="0" quotePrefix="0" xfId="0">
      <alignment horizontal="right" vertical="center"/>
    </xf>
    <xf numFmtId="175" fontId="4" fillId="5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76" fontId="4" fillId="4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177" fontId="4" fillId="6" borderId="1" applyAlignment="1" pivotButton="0" quotePrefix="0" xfId="0">
      <alignment horizontal="right" vertical="center"/>
    </xf>
    <xf numFmtId="178" fontId="4" fillId="6" borderId="1" applyAlignment="1" pivotButton="0" quotePrefix="0" xfId="0">
      <alignment horizontal="right" vertical="center"/>
    </xf>
    <xf numFmtId="179" fontId="4" fillId="5" borderId="1" applyAlignment="1" pivotButton="0" quotePrefix="0" xfId="0">
      <alignment horizontal="right" vertical="center"/>
    </xf>
    <xf numFmtId="180" fontId="4" fillId="6" borderId="1" applyAlignment="1" pivotButton="0" quotePrefix="0" xfId="0">
      <alignment horizontal="right" vertical="center"/>
    </xf>
    <xf numFmtId="181" fontId="4" fillId="4" borderId="1" applyAlignment="1" pivotButton="0" quotePrefix="0" xfId="0">
      <alignment horizontal="right" vertical="center"/>
    </xf>
    <xf numFmtId="182" fontId="4" fillId="6" borderId="1" applyAlignment="1" pivotButton="0" quotePrefix="0" xfId="0">
      <alignment horizontal="right" vertical="center"/>
    </xf>
    <xf numFmtId="181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83" fontId="4" fillId="4" borderId="1" applyAlignment="1" pivotButton="0" quotePrefix="0" xfId="0">
      <alignment horizontal="right" vertical="center"/>
    </xf>
    <xf numFmtId="184" fontId="4" fillId="4" borderId="1" applyAlignment="1" pivotButton="0" quotePrefix="0" xfId="0">
      <alignment horizontal="right" vertical="center"/>
    </xf>
    <xf numFmtId="170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185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uesta a Tierra'!A1" TargetMode="External" Id="rId1"/><Relationship Type="http://schemas.openxmlformats.org/officeDocument/2006/relationships/hyperlink" Target="#'Previsi&#243;n de Cargas'!A1" TargetMode="External" Id="rId2"/><Relationship Type="http://schemas.openxmlformats.org/officeDocument/2006/relationships/hyperlink" Target="#'C&#225;lculo de Secciones'!A1" TargetMode="External" Id="rId3"/><Relationship Type="http://schemas.openxmlformats.org/officeDocument/2006/relationships/hyperlink" Target="#'Autoconsumo y Redes'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10" customWidth="1" min="3" max="3"/>
  </cols>
  <sheetData>
    <row r="1"/>
    <row r="2">
      <c r="A2" s="1" t="inlineStr">
        <is>
          <t>Calculadora Eléctrica Oficial según el REBT</t>
        </is>
      </c>
    </row>
    <row r="3">
      <c r="A3" s="2" t="inlineStr">
        <is>
          <t>Herramienta técnica de automatización de cálculos de diseño, puestas a tierra y secciones de conductores</t>
        </is>
      </c>
    </row>
    <row r="4">
      <c r="A4" s="2" t="inlineStr">
        <is>
          <t>Versión: 2.0 | Fecha de Generación: 2026-08-10</t>
        </is>
      </c>
    </row>
    <row r="5"/>
    <row r="6">
      <c r="A6" s="3" t="inlineStr">
        <is>
          <t>ÍNDICE DE HOJAS DE CÁLCULO</t>
        </is>
      </c>
    </row>
    <row r="7">
      <c r="A7" s="4" t="inlineStr">
        <is>
          <t>Pestaña</t>
        </is>
      </c>
      <c r="B7" s="4" t="inlineStr">
        <is>
          <t>Descripción</t>
        </is>
      </c>
      <c r="C7" s="4" t="inlineStr">
        <is>
          <t>Enlace de Navegación</t>
        </is>
      </c>
    </row>
    <row r="8">
      <c r="A8" s="5" t="inlineStr">
        <is>
          <t>Puesta a Tierra</t>
        </is>
      </c>
      <c r="B8" s="6" t="inlineStr">
        <is>
          <t>Cálculo de resistencia de tomas de tierra (picas, conductores horizontales, placas) y distancias de seguridad para tierras independientes (ITC-BT-18).</t>
        </is>
      </c>
      <c r="C8" s="7" t="inlineStr">
        <is>
          <t>Ir a Puesta a Tierra →</t>
        </is>
      </c>
    </row>
    <row r="9">
      <c r="A9" s="5" t="inlineStr">
        <is>
          <t>Previsión de Cargas</t>
        </is>
      </c>
      <c r="B9" s="6" t="inlineStr">
        <is>
          <t>Previsión de potencia de edificios de viviendas, locales comerciales, garajes e infraestructura de recarga de vehículos eléctricos (ITC-BT-10 e ITC-BT-52).</t>
        </is>
      </c>
      <c r="C9" s="7" t="inlineStr">
        <is>
          <t>Ir a Previsión de Cargas →</t>
        </is>
      </c>
    </row>
    <row r="10">
      <c r="A10" s="5" t="inlineStr">
        <is>
          <t>Cálculo de Secciones</t>
        </is>
      </c>
      <c r="B10" s="6" t="inlineStr">
        <is>
          <t>Dimensionado completo de cables por caída de tensión, intensidad máxima admisible y cortocircuito adiabático (ITC-BT-19, ITC-BT-25).</t>
        </is>
      </c>
      <c r="C10" s="7" t="inlineStr">
        <is>
          <t>Ir a Cálculo de Secciones →</t>
        </is>
      </c>
    </row>
    <row r="11">
      <c r="A11" s="5" t="inlineStr">
        <is>
          <t>Autoconsumo y Redes</t>
        </is>
      </c>
      <c r="B11" s="6" t="inlineStr">
        <is>
          <t>Determinación de número máximo de inversores en antivertido (ITC-BT-40) y cálculo de corrientes admisibles en redes aéreas trenzadas (ITC-BT-06).</t>
        </is>
      </c>
      <c r="C11" s="7" t="inlineStr">
        <is>
          <t>Ir a Autoconsumo y Redes →</t>
        </is>
      </c>
    </row>
    <row r="12"/>
    <row r="13"/>
    <row r="14">
      <c r="A14" s="3" t="inlineStr">
        <is>
          <t>LEYENDA DE CÓDIGOS DE COLOR Y FORMATO</t>
        </is>
      </c>
    </row>
    <row r="15">
      <c r="A15" s="4" t="inlineStr">
        <is>
          <t>Formato</t>
        </is>
      </c>
      <c r="B15" s="4" t="inlineStr">
        <is>
          <t>Tipo de Celda</t>
        </is>
      </c>
      <c r="C15" s="4" t="inlineStr">
        <is>
          <t>Uso / Significado</t>
        </is>
      </c>
    </row>
    <row r="16">
      <c r="A16" s="8" t="inlineStr">
        <is>
          <t>ENTRADA DE DATOS</t>
        </is>
      </c>
      <c r="B16" s="9" t="inlineStr">
        <is>
          <t>Editable</t>
        </is>
      </c>
      <c r="C16" s="6" t="inlineStr">
        <is>
          <t>Celda editable por el usuario. Permite cambiar las variables de diseño (longitud, potencia, resistividad).</t>
        </is>
      </c>
    </row>
    <row r="17">
      <c r="A17" s="10" t="inlineStr">
        <is>
          <t>RESULTADO / FÓRMULA</t>
        </is>
      </c>
      <c r="B17" s="9" t="inlineStr">
        <is>
          <t>Calculado</t>
        </is>
      </c>
      <c r="C17" s="6" t="inlineStr">
        <is>
          <t>Celda calculada automáticamente mediante fórmulas de Excel vinculadas. No debe editarse manualmente.</t>
        </is>
      </c>
    </row>
    <row r="18">
      <c r="A18" s="11" t="inlineStr">
        <is>
          <t>CABECERA SECCIÓN</t>
        </is>
      </c>
      <c r="B18" s="9" t="inlineStr">
        <is>
          <t>Informativo</t>
        </is>
      </c>
      <c r="C18" s="6" t="inlineStr">
        <is>
          <t>Indica el inicio de un bloque de cálculo específico según la instrucción técnica (ITC-BT) de referencia.</t>
        </is>
      </c>
    </row>
    <row r="19">
      <c r="A19" s="12" t="inlineStr">
        <is>
          <t>SUBTOTAL / INTERMEDIO</t>
        </is>
      </c>
      <c r="B19" s="9" t="inlineStr">
        <is>
          <t>Informativo</t>
        </is>
      </c>
      <c r="C19" s="6" t="inlineStr">
        <is>
          <t>Cálculo intermedio, sumas parciales o coeficientes regulados por el REBT.</t>
        </is>
      </c>
    </row>
  </sheetData>
  <mergeCells count="2">
    <mergeCell ref="A14:C14"/>
    <mergeCell ref="A6:C6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</cols>
  <sheetData>
    <row r="1"/>
    <row r="2">
      <c r="A2" s="1" t="inlineStr">
        <is>
          <t>CÁLCULO DE SISTEMAS DE PUESTA A TIERRA (ITC-BT-18)</t>
        </is>
      </c>
    </row>
    <row r="3"/>
    <row r="4">
      <c r="A4" s="13" t="inlineStr">
        <is>
          <t>1. RESISTENCIA DE TIERRA SEGÚN EL TIPO DE ELECTRODO</t>
        </is>
      </c>
    </row>
    <row r="5">
      <c r="A5" s="14" t="n"/>
      <c r="B5" s="14" t="n"/>
      <c r="C5" s="14" t="n"/>
    </row>
    <row r="6">
      <c r="A6" s="15" t="inlineStr">
        <is>
          <t>Resistividad de diseño del terreno (ρ)</t>
        </is>
      </c>
      <c r="B6" s="16" t="n">
        <v>100</v>
      </c>
      <c r="C6" s="17" t="inlineStr">
        <is>
          <t>Arena arcillosa (Tabla 3 REBT: 50 a 500)</t>
        </is>
      </c>
    </row>
    <row r="7">
      <c r="A7" s="15" t="n"/>
      <c r="B7" s="15" t="n"/>
      <c r="C7" s="15" t="n"/>
    </row>
    <row r="8">
      <c r="A8" s="18" t="inlineStr">
        <is>
          <t>Opción A: Pica vertical de tierra</t>
        </is>
      </c>
      <c r="B8" s="15" t="n"/>
      <c r="C8" s="15" t="n"/>
    </row>
    <row r="9">
      <c r="A9" s="15" t="inlineStr">
        <is>
          <t>Longitud de la pica vertical (L)</t>
        </is>
      </c>
      <c r="B9" s="19" t="n">
        <v>2</v>
      </c>
      <c r="C9" s="17" t="inlineStr">
        <is>
          <t>Mínimo 2 metros de longitud</t>
        </is>
      </c>
    </row>
    <row r="10">
      <c r="A10" s="15" t="inlineStr">
        <is>
          <t>Resistencia de tierra de la pica (R_pica)</t>
        </is>
      </c>
      <c r="B10" s="20">
        <f>B6/B9</f>
        <v/>
      </c>
      <c r="C10" s="17" t="inlineStr">
        <is>
          <t>Fórmula: R = ρ / L</t>
        </is>
      </c>
    </row>
    <row r="11">
      <c r="A11" s="15" t="n"/>
      <c r="B11" s="15" t="n"/>
      <c r="C11" s="15" t="n"/>
    </row>
    <row r="12">
      <c r="A12" s="18" t="inlineStr">
        <is>
          <t>Opción B: Conductor enterrado horizontalmente (Anillo)</t>
        </is>
      </c>
      <c r="B12" s="15" t="n"/>
      <c r="C12" s="15" t="n"/>
    </row>
    <row r="13">
      <c r="A13" s="15" t="inlineStr">
        <is>
          <t>Longitud del anillo en planta (L)</t>
        </is>
      </c>
      <c r="B13" s="19" t="n">
        <v>43</v>
      </c>
      <c r="C13" s="17" t="inlineStr">
        <is>
          <t>Obligatorio en fondo de cimentación</t>
        </is>
      </c>
    </row>
    <row r="14">
      <c r="A14" s="15" t="inlineStr">
        <is>
          <t>Resistencia de tierra del anillo (R_anillo)</t>
        </is>
      </c>
      <c r="B14" s="20">
        <f>2*B6/B13</f>
        <v/>
      </c>
      <c r="C14" s="17" t="inlineStr">
        <is>
          <t>Fórmula: R = 2ρ / L</t>
        </is>
      </c>
    </row>
    <row r="15">
      <c r="A15" s="15" t="n"/>
      <c r="B15" s="15" t="n"/>
      <c r="C15" s="15" t="n"/>
    </row>
    <row r="16">
      <c r="A16" s="18" t="inlineStr">
        <is>
          <t>Opción C: Placa de tierra enterrada</t>
        </is>
      </c>
      <c r="B16" s="15" t="n"/>
      <c r="C16" s="15" t="n"/>
    </row>
    <row r="17">
      <c r="A17" s="15" t="inlineStr">
        <is>
          <t>Perímetro de la placa (P)</t>
        </is>
      </c>
      <c r="B17" s="19" t="n">
        <v>4</v>
      </c>
      <c r="C17" s="17" t="inlineStr">
        <is>
          <t>Perímetro total exterior</t>
        </is>
      </c>
    </row>
    <row r="18">
      <c r="A18" s="15" t="inlineStr">
        <is>
          <t>Resistencia de tierra de la placa (R_placa)</t>
        </is>
      </c>
      <c r="B18" s="20">
        <f>0.8*B6/B17</f>
        <v/>
      </c>
      <c r="C18" s="17" t="inlineStr">
        <is>
          <t>Fórmula: R = 0.8ρ / P</t>
        </is>
      </c>
    </row>
    <row r="19"/>
    <row r="20">
      <c r="A20" s="21" t="inlineStr">
        <is>
          <t>2. COMPROBACIÓN CONTRA CONTACTOS INDIRECTOS</t>
        </is>
      </c>
      <c r="B20" s="15" t="n"/>
      <c r="C20" s="15" t="n"/>
    </row>
    <row r="21">
      <c r="A21" s="15" t="inlineStr">
        <is>
          <t>Resistencia máxima deseada / de diseño</t>
        </is>
      </c>
      <c r="B21" s="22" t="n">
        <v>37</v>
      </c>
      <c r="C21" s="17" t="inlineStr">
        <is>
          <t>Establecido por el proyectista</t>
        </is>
      </c>
    </row>
    <row r="22">
      <c r="A22" s="15" t="inlineStr">
        <is>
          <t>Tensión de contacto límite convencional (U_L)</t>
        </is>
      </c>
      <c r="B22" s="23" t="n">
        <v>50</v>
      </c>
      <c r="C22" s="17" t="inlineStr">
        <is>
          <t>50 V (locales secos), 24 V (locales húmedos)</t>
        </is>
      </c>
    </row>
    <row r="23">
      <c r="A23" s="15" t="inlineStr">
        <is>
          <t>Intensidad de disparo del diferencial (I_d)</t>
        </is>
      </c>
      <c r="B23" s="24" t="n">
        <v>0.03</v>
      </c>
      <c r="C23" s="17" t="inlineStr">
        <is>
          <t>0.03 A = 30 mA (alta sensibilidad)</t>
        </is>
      </c>
    </row>
    <row r="24">
      <c r="A24" s="15" t="inlineStr">
        <is>
          <t>Resistencia de tierra máx. de seguridad (R_max)</t>
        </is>
      </c>
      <c r="B24" s="25">
        <f>B22/B23</f>
        <v/>
      </c>
      <c r="C24" s="17" t="inlineStr">
        <is>
          <t>Fórmula obligatoria: R_max &lt;= U_L / I_d</t>
        </is>
      </c>
    </row>
    <row r="25">
      <c r="A25" s="15" t="inlineStr">
        <is>
          <t>Verificación: ¿Cumple con el diseño?</t>
        </is>
      </c>
      <c r="B25" s="10">
        <f>IF(B14&lt;=B21, "CUMPLE DISEÑO", "AÑADIR PICAS")</f>
        <v/>
      </c>
      <c r="C25" s="17" t="inlineStr">
        <is>
          <t>Compara el anillo (Opción B) contra tu diseño</t>
        </is>
      </c>
    </row>
    <row r="26">
      <c r="A26" s="15" t="inlineStr">
        <is>
          <t>Verificación: ¿Cumple Seguridad Obligatoria?</t>
        </is>
      </c>
      <c r="B26" s="10">
        <f>IF(B14&lt;=B24, "CUMPLE REBT", "PELIGROSO (REHACER)")</f>
        <v/>
      </c>
      <c r="C26" s="17" t="inlineStr">
        <is>
          <t>Condición de seguridad básica del REBT</t>
        </is>
      </c>
    </row>
    <row r="27"/>
    <row r="28">
      <c r="A28" s="21" t="inlineStr">
        <is>
          <t>3. INDEPENDENCIA DE TOMAS DE TIERRA (DISTANCIA DE SEGURIDAD)</t>
        </is>
      </c>
      <c r="B28" s="15" t="n"/>
      <c r="C28" s="15" t="n"/>
    </row>
    <row r="29">
      <c r="A29" s="15" t="inlineStr">
        <is>
          <t>Intensidad de defecto en el lado de AT (I_d)</t>
        </is>
      </c>
      <c r="B29" s="26" t="n">
        <v>10</v>
      </c>
      <c r="C29" s="17" t="inlineStr">
        <is>
          <t>Facilitado por la empresa distribuidora</t>
        </is>
      </c>
    </row>
    <row r="30">
      <c r="A30" s="15" t="inlineStr">
        <is>
          <t>Tensión límite de defecto admisible (U)</t>
        </is>
      </c>
      <c r="B30" s="23" t="n">
        <v>250</v>
      </c>
      <c r="C30" s="17" t="inlineStr">
        <is>
          <t>250 V (fallos &gt; 5s) / 1200 V (fallos &lt;= 5s)</t>
        </is>
      </c>
    </row>
    <row r="31">
      <c r="A31" s="15" t="inlineStr">
        <is>
          <t>Distancia mínima de separación (D)</t>
        </is>
      </c>
      <c r="B31" s="27">
        <f>IFERROR((B6*B29)/(2*PI()*B30), 0)</f>
        <v/>
      </c>
      <c r="C31" s="17" t="inlineStr">
        <is>
          <t>Fórmula: D = (ρ * I_d) / (2 * π * U)</t>
        </is>
      </c>
    </row>
  </sheetData>
  <mergeCells count="3">
    <mergeCell ref="A28:C28"/>
    <mergeCell ref="A4:C4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>
      <c r="A2" s="1" t="inlineStr">
        <is>
          <t>PREVISIÓN DE POTENCIA PARA EDIFICIOS (ITC-BT-10)</t>
        </is>
      </c>
    </row>
    <row r="3"/>
    <row r="4">
      <c r="A4" s="21" t="inlineStr">
        <is>
          <t>1. CARGA CORRESPONDIENTE AL CONJUNTO DE VIVIENDAS</t>
        </is>
      </c>
      <c r="B4" s="15" t="n"/>
      <c r="C4" s="15" t="n"/>
    </row>
    <row r="5">
      <c r="A5" s="14" t="n"/>
      <c r="B5" s="14" t="n"/>
      <c r="C5" s="14" t="n"/>
    </row>
    <row r="6">
      <c r="A6" s="15" t="inlineStr">
        <is>
          <t>Número de viviendas en el edificio (n)</t>
        </is>
      </c>
      <c r="B6" s="28" t="n">
        <v>24</v>
      </c>
      <c r="C6" s="17" t="inlineStr">
        <is>
          <t>Introduzca el total de viviendas</t>
        </is>
      </c>
      <c r="H6" t="n">
        <v>1</v>
      </c>
      <c r="I6" t="n">
        <v>1</v>
      </c>
    </row>
    <row r="7">
      <c r="A7" s="15" t="inlineStr">
        <is>
          <t>Potencia asignada por vivienda (P_viv)</t>
        </is>
      </c>
      <c r="B7" s="29" t="n">
        <v>5750</v>
      </c>
      <c r="C7" s="17" t="inlineStr">
        <is>
          <t>5750 W (Básica) / 9200 W (Elevada)</t>
        </is>
      </c>
      <c r="H7" t="n">
        <v>2</v>
      </c>
      <c r="I7" t="n">
        <v>2</v>
      </c>
    </row>
    <row r="8">
      <c r="A8" s="15" t="inlineStr">
        <is>
          <t>Coeficiente de simultaneidad equivalente</t>
        </is>
      </c>
      <c r="B8" s="30">
        <f>IF(B6&lt;=21, VLOOKUP(B6, H6:I26, 2, FALSE), 15.3 + (B6 - 21) * 0.5)</f>
        <v/>
      </c>
      <c r="C8" s="17" t="inlineStr">
        <is>
          <t>Según Tabla 1 de la ITC-BT-10</t>
        </is>
      </c>
      <c r="H8" t="n">
        <v>3</v>
      </c>
      <c r="I8" t="n">
        <v>3</v>
      </c>
    </row>
    <row r="9">
      <c r="A9" s="15" t="inlineStr">
        <is>
          <t>Carga total del conjunto de viviendas (P_viviendas)</t>
        </is>
      </c>
      <c r="B9" s="31">
        <f>B8*B7</f>
        <v/>
      </c>
      <c r="C9" s="17" t="inlineStr">
        <is>
          <t>Fórmula: Coef_sim * P_viv</t>
        </is>
      </c>
      <c r="H9" t="n">
        <v>4</v>
      </c>
      <c r="I9" t="n">
        <v>3.8</v>
      </c>
    </row>
    <row r="10">
      <c r="C10" t="inlineStr">
        <is>
          <t>Típico en instalaciones residenciales/comerciales</t>
        </is>
      </c>
      <c r="H10" t="n">
        <v>5</v>
      </c>
      <c r="I10" t="n">
        <v>4.6</v>
      </c>
    </row>
    <row r="11">
      <c r="A11" s="21" t="inlineStr">
        <is>
          <t>2. SERVICIOS GENERALES, LOCALES COMERCIALES Y GARAJES</t>
        </is>
      </c>
      <c r="B11" s="15" t="n"/>
      <c r="C11" s="15" t="n"/>
      <c r="H11" t="n">
        <v>6</v>
      </c>
      <c r="I11" t="n">
        <v>5.4</v>
      </c>
    </row>
    <row r="12">
      <c r="A12" s="15" t="inlineStr">
        <is>
          <t>Potencia de servicios generales (ascensores, escalera)</t>
        </is>
      </c>
      <c r="B12" s="29" t="n">
        <v>15000</v>
      </c>
      <c r="C12" s="17" t="inlineStr">
        <is>
          <t>Coeficiente de simultaneidad = 1</t>
        </is>
      </c>
      <c r="H12" t="n">
        <v>7</v>
      </c>
      <c r="I12" t="n">
        <v>6.2</v>
      </c>
    </row>
    <row r="13">
      <c r="A13" s="15" t="inlineStr">
        <is>
          <t>Superficie de locales comerciales (S_loc)</t>
        </is>
      </c>
      <c r="B13" s="32" t="n">
        <v>150</v>
      </c>
      <c r="C13" s="17" t="inlineStr">
        <is>
          <t>Para locales comerciales y oficinas</t>
        </is>
      </c>
      <c r="H13" t="n">
        <v>8</v>
      </c>
      <c r="I13" t="n">
        <v>7</v>
      </c>
    </row>
    <row r="14">
      <c r="A14" s="15" t="inlineStr">
        <is>
          <t>Carga locales comerciales (P_locales)</t>
        </is>
      </c>
      <c r="B14" s="31">
        <f>MAX(B13*100, 3450)</f>
        <v/>
      </c>
      <c r="C14" s="17" t="inlineStr">
        <is>
          <t>Min. 100 W/m² (mínimo de 3.450 W)</t>
        </is>
      </c>
      <c r="H14" t="n">
        <v>9</v>
      </c>
      <c r="I14" t="n">
        <v>7.8</v>
      </c>
    </row>
    <row r="15">
      <c r="A15" s="15" t="inlineStr">
        <is>
          <t>Superficie del garaje (S_gar)</t>
        </is>
      </c>
      <c r="B15" s="32" t="n">
        <v>300</v>
      </c>
      <c r="C15" s="17" t="inlineStr">
        <is>
          <t>Área total del estacionamiento</t>
        </is>
      </c>
      <c r="H15" t="n">
        <v>10</v>
      </c>
      <c r="I15" t="n">
        <v>8.5</v>
      </c>
    </row>
    <row r="16">
      <c r="A16" s="15" t="inlineStr">
        <is>
          <t>Tipo de ventilación del garaje (Natural / Forzada)</t>
        </is>
      </c>
      <c r="B16" s="8" t="inlineStr">
        <is>
          <t>Forzada</t>
        </is>
      </c>
      <c r="C16" s="17" t="inlineStr">
        <is>
          <t>Determina el ratio de W/m²</t>
        </is>
      </c>
      <c r="H16" t="n">
        <v>11</v>
      </c>
      <c r="I16" t="n">
        <v>9.199999999999999</v>
      </c>
    </row>
    <row r="17">
      <c r="A17" s="15" t="inlineStr">
        <is>
          <t>Carga de potencia del garaje (P_garaje)</t>
        </is>
      </c>
      <c r="B17" s="31">
        <f>MAX(B15*IF(B16="Forzada", 20, 10), 3450)</f>
        <v/>
      </c>
      <c r="C17" s="17" t="inlineStr">
        <is>
          <t>20 W/m² (Forzada) / 10 W/m² (Natural)</t>
        </is>
      </c>
      <c r="H17" t="n">
        <v>12</v>
      </c>
      <c r="I17" t="n">
        <v>9.9</v>
      </c>
    </row>
    <row r="18">
      <c r="H18" t="n">
        <v>13</v>
      </c>
      <c r="I18" t="n">
        <v>10.6</v>
      </c>
    </row>
    <row r="19">
      <c r="A19" s="21" t="inlineStr">
        <is>
          <t>3. INFRAESTRUCTURA DE VEHÍCULO ELÉCTRICO (ITC-BT-52)</t>
        </is>
      </c>
      <c r="B19" s="15" t="n"/>
      <c r="C19" s="15" t="n"/>
      <c r="H19" t="n">
        <v>14</v>
      </c>
      <c r="I19" t="n">
        <v>11.3</v>
      </c>
    </row>
    <row r="20">
      <c r="A20" s="15" t="inlineStr">
        <is>
          <t>Número total de plazas de garaje</t>
        </is>
      </c>
      <c r="B20" s="28" t="n">
        <v>30</v>
      </c>
      <c r="C20" s="17" t="inlineStr">
        <is>
          <t>Plazas totales del garaje colectivo</t>
        </is>
      </c>
      <c r="H20" t="n">
        <v>15</v>
      </c>
      <c r="I20" t="n">
        <v>11.9</v>
      </c>
    </row>
    <row r="21">
      <c r="A21" s="15" t="inlineStr">
        <is>
          <t>Plazas a prever reglamentarias (10%)</t>
        </is>
      </c>
      <c r="B21" s="33">
        <f>ROUNDUP(B20*0.1, 0)</f>
        <v/>
      </c>
      <c r="C21" s="17" t="inlineStr">
        <is>
          <t>10% de las plazas de aparcamiento</t>
        </is>
      </c>
      <c r="H21" t="n">
        <v>16</v>
      </c>
      <c r="I21" t="n">
        <v>12.5</v>
      </c>
    </row>
    <row r="22">
      <c r="A22" s="15" t="inlineStr">
        <is>
          <t>Potencia nominal por plaza</t>
        </is>
      </c>
      <c r="B22" s="34" t="n">
        <v>3680</v>
      </c>
      <c r="C22" s="17" t="inlineStr">
        <is>
          <t>Fijado a 3,68 kW por plaza (monofásica)</t>
        </is>
      </c>
      <c r="H22" t="n">
        <v>17</v>
      </c>
      <c r="I22" t="n">
        <v>13.1</v>
      </c>
    </row>
    <row r="23">
      <c r="A23" s="15" t="inlineStr">
        <is>
          <t>Potencia instalada de recarga (P_ve)</t>
        </is>
      </c>
      <c r="B23" s="31">
        <f>B21*B22</f>
        <v/>
      </c>
      <c r="C23" s="17" t="inlineStr">
        <is>
          <t>Fórmula: Plazas_prever * 3680 W</t>
        </is>
      </c>
      <c r="H23" t="n">
        <v>18</v>
      </c>
      <c r="I23" t="n">
        <v>13.7</v>
      </c>
    </row>
    <row r="24">
      <c r="A24" s="15" t="inlineStr">
        <is>
          <t>Instalación de Sistema de Protección (SPL) (Sí / No)</t>
        </is>
      </c>
      <c r="B24" s="8" t="inlineStr">
        <is>
          <t>Sí</t>
        </is>
      </c>
      <c r="C24" s="17" t="inlineStr">
        <is>
          <t>SPL reduce momentáneamente la carga para evitar corte</t>
        </is>
      </c>
      <c r="H24" t="n">
        <v>19</v>
      </c>
      <c r="I24" t="n">
        <v>14.3</v>
      </c>
    </row>
    <row r="25">
      <c r="A25" s="15" t="inlineStr">
        <is>
          <t>Factor de simultaneidad para IRVE</t>
        </is>
      </c>
      <c r="B25" s="30">
        <f>IF(B24="Sí", 0.3, 1.0)</f>
        <v/>
      </c>
      <c r="C25" s="17" t="inlineStr">
        <is>
          <t>0.3 si se instala el SPL / 1.0 si no se instala</t>
        </is>
      </c>
      <c r="H25" t="n">
        <v>20</v>
      </c>
      <c r="I25" t="n">
        <v>14.8</v>
      </c>
    </row>
    <row r="26">
      <c r="H26" t="n">
        <v>21</v>
      </c>
      <c r="I26" t="n">
        <v>15.3</v>
      </c>
    </row>
    <row r="27">
      <c r="A27" s="21" t="inlineStr">
        <is>
          <t>4. CARGA TOTAL PREVISTA EN EL EDIFICIO</t>
        </is>
      </c>
      <c r="B27" s="15" t="n"/>
      <c r="C27" s="15" t="n"/>
    </row>
    <row r="28">
      <c r="A28" s="15" t="inlineStr">
        <is>
          <t>Potencia total del edificio (kW)</t>
        </is>
      </c>
      <c r="B28" s="35">
        <f>(B9+B12+B14+B17+(B25*B23))/1000</f>
        <v/>
      </c>
      <c r="C28" s="17" t="inlineStr">
        <is>
          <t>Suma total con coeficiente SPL aplicado</t>
        </is>
      </c>
    </row>
  </sheetData>
  <mergeCells count="4">
    <mergeCell ref="A4:C4"/>
    <mergeCell ref="A27:C27"/>
    <mergeCell ref="A19:C19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</cols>
  <sheetData>
    <row r="1"/>
    <row r="2">
      <c r="A2" s="1" t="inlineStr">
        <is>
          <t>DIMENSIONAMIENTO DE CONDUCTORES ELÉCTRICOS</t>
        </is>
      </c>
    </row>
    <row r="3"/>
    <row r="4">
      <c r="A4" s="21" t="inlineStr">
        <is>
          <t>1. CÁLCULO POR CRITERIO DE CAÍDA DE TENSIÓN</t>
        </is>
      </c>
      <c r="B4" s="15" t="n"/>
      <c r="C4" s="15" t="n"/>
    </row>
    <row r="5">
      <c r="A5" s="14" t="n"/>
      <c r="B5" s="14" t="n"/>
      <c r="C5" s="14" t="n"/>
    </row>
    <row r="6">
      <c r="A6" s="15" t="inlineStr">
        <is>
          <t>Sistema de corriente (Monofásico / Trifásico)</t>
        </is>
      </c>
      <c r="B6" s="8" t="inlineStr">
        <is>
          <t>Monofásico</t>
        </is>
      </c>
      <c r="C6" s="17" t="inlineStr">
        <is>
          <t>Determina fórmula monofásica o trifásica</t>
        </is>
      </c>
    </row>
    <row r="7">
      <c r="A7" s="15" t="inlineStr">
        <is>
          <t>Tensión nominal de alimentación (U)</t>
        </is>
      </c>
      <c r="B7" s="23" t="n">
        <v>230</v>
      </c>
      <c r="C7" s="17" t="inlineStr">
        <is>
          <t>230 V (Monofásico) / 400 V (Trifásico)</t>
        </is>
      </c>
    </row>
    <row r="8">
      <c r="A8" s="15" t="inlineStr">
        <is>
          <t>Potencia activa de la carga (P)</t>
        </is>
      </c>
      <c r="B8" s="29" t="n">
        <v>9200</v>
      </c>
      <c r="C8" s="17" t="inlineStr">
        <is>
          <t>Consumo activo de los receptores</t>
        </is>
      </c>
    </row>
    <row r="9">
      <c r="A9" s="15" t="inlineStr">
        <is>
          <t>Longitud de la canalización (L)</t>
        </is>
      </c>
      <c r="B9" s="19" t="n">
        <v>50</v>
      </c>
      <c r="C9" s="17" t="inlineStr">
        <is>
          <t>Distancia física al origen</t>
        </is>
      </c>
    </row>
    <row r="10">
      <c r="A10" s="15" t="inlineStr">
        <is>
          <t>Factor de potencia de la instalación (cos φ)</t>
        </is>
      </c>
      <c r="B10" s="36" t="n">
        <v>0.9</v>
      </c>
      <c r="C10" s="15" t="n"/>
    </row>
    <row r="11">
      <c r="A11" s="15" t="inlineStr">
        <is>
          <t>Caída de tensión porcentual máx. admisible</t>
        </is>
      </c>
      <c r="B11" s="37" t="n">
        <v>0.03</v>
      </c>
      <c r="C11" s="17" t="inlineStr">
        <is>
          <t>3% en viviendas, 3% alumbrado, 5% fuerza</t>
        </is>
      </c>
    </row>
    <row r="12">
      <c r="A12" s="15" t="inlineStr">
        <is>
          <t>Material conductor (Cobre / Aluminio)</t>
        </is>
      </c>
      <c r="B12" s="8" t="inlineStr">
        <is>
          <t>Cobre</t>
        </is>
      </c>
      <c r="C12" s="17" t="inlineStr">
        <is>
          <t>Aluminio suele requerir mayor sección</t>
        </is>
      </c>
    </row>
    <row r="13">
      <c r="A13" s="15" t="inlineStr">
        <is>
          <t>Tipo de aislamiento y temp. de servicio</t>
        </is>
      </c>
      <c r="B13" s="8" t="inlineStr">
        <is>
          <t>XLPE (90°C)</t>
        </is>
      </c>
      <c r="C13" s="17" t="inlineStr">
        <is>
          <t>PVC (70°C) / XLPE (90°C) / EPR (90°C)</t>
        </is>
      </c>
    </row>
    <row r="14">
      <c r="A14" s="15" t="inlineStr">
        <is>
          <t>Conductividad corregida por temp. (γ)</t>
        </is>
      </c>
      <c r="B14" s="38">
        <f>IF(B12="Cobre", IF(B13="PVC (70°C)", 48, 44), IF(B13="PVC (70°C)", 30, 28))</f>
        <v/>
      </c>
      <c r="C14" s="17" t="inlineStr">
        <is>
          <t>Guía Técnica: Cu (48 a 70°C/44 a 90°C), Al (30/28)</t>
        </is>
      </c>
    </row>
    <row r="15">
      <c r="A15" s="15" t="inlineStr">
        <is>
          <t>Caída de tensión máxima admisible en voltios</t>
        </is>
      </c>
      <c r="B15" s="39">
        <f>B11*B7</f>
        <v/>
      </c>
      <c r="C15" s="17" t="inlineStr">
        <is>
          <t>Límite absoluto de caída</t>
        </is>
      </c>
    </row>
    <row r="16">
      <c r="A16" s="15" t="inlineStr">
        <is>
          <t>Sección teórica requerida por caída de tensión</t>
        </is>
      </c>
      <c r="B16" s="40">
        <f>IF(B6="Monofásico", (2*B9*B8)/(B14*B15*B7), (B9*B8)/(B14*B15*B7))</f>
        <v/>
      </c>
      <c r="C16" s="17" t="inlineStr">
        <is>
          <t>Sección exacta antes de normalizar</t>
        </is>
      </c>
    </row>
    <row r="17">
      <c r="A17" s="15" t="inlineStr">
        <is>
          <t>Sección comercial normalizada inmediata superior</t>
        </is>
      </c>
      <c r="B17" s="41">
        <f>LOOKUP(B16, {0, 1.5001, 2.5001, 4.0001, 6.0001, 10.0001, 16.0001, 25.0001, 35.0001, 50.0001, 70.0001, 95.0001, 120.0001, 150.0001, 185.0001, 240.0001}, {1.5, 2.5, 4, 6, 10, 16, 25, 35, 50, 70, 95, 120, 150, 185, 240, 300})</f>
        <v/>
      </c>
      <c r="C17" s="17" t="inlineStr">
        <is>
          <t>Sección real mínima requerida por caída</t>
        </is>
      </c>
    </row>
    <row r="18"/>
    <row r="19">
      <c r="A19" s="21" t="inlineStr">
        <is>
          <t>2. COMPROBACIÓN POR CRITERIO TÉRMICO (SOBRECARGAS)</t>
        </is>
      </c>
      <c r="B19" s="15" t="n"/>
      <c r="C19" s="15" t="n"/>
    </row>
    <row r="20">
      <c r="A20" s="15" t="inlineStr">
        <is>
          <t>Intensidad nominal del interruptor automático (I_n)</t>
        </is>
      </c>
      <c r="B20" s="26" t="n">
        <v>40</v>
      </c>
      <c r="C20" s="17" t="inlineStr">
        <is>
          <t>Protección contra sobrecargas seleccionada</t>
        </is>
      </c>
    </row>
    <row r="21">
      <c r="A21" s="15" t="inlineStr">
        <is>
          <t>Intensidad admisible de catálogo (I_base)</t>
        </is>
      </c>
      <c r="B21" s="26" t="n">
        <v>44</v>
      </c>
      <c r="C21" s="17" t="inlineStr">
        <is>
          <t>Según método de instalación (Tabla 1 ITC-BT-19)</t>
        </is>
      </c>
    </row>
    <row r="22">
      <c r="A22" s="15" t="inlineStr">
        <is>
          <t>Factor de corrección por temperatura (F_t)</t>
        </is>
      </c>
      <c r="B22" s="36" t="n">
        <v>1</v>
      </c>
      <c r="C22" s="17" t="inlineStr">
        <is>
          <t>Aplica si temp. ambiente es distinta de 40°C</t>
        </is>
      </c>
    </row>
    <row r="23">
      <c r="A23" s="15" t="inlineStr">
        <is>
          <t>Factor de corrección por agrupamiento (F_g)</t>
        </is>
      </c>
      <c r="B23" s="36" t="n">
        <v>1</v>
      </c>
      <c r="C23" s="17" t="inlineStr">
        <is>
          <t>Aplica si hay múltiples circuitos juntos</t>
        </is>
      </c>
    </row>
    <row r="24">
      <c r="A24" s="15" t="inlineStr">
        <is>
          <t>Intensidad máxima admisible real (I_adm)</t>
        </is>
      </c>
      <c r="B24" s="42">
        <f>B21*B22*B23</f>
        <v/>
      </c>
      <c r="C24" s="17" t="inlineStr">
        <is>
          <t>Fórmula: I_base * F_t * F_g</t>
        </is>
      </c>
    </row>
    <row r="25">
      <c r="A25" s="15" t="inlineStr">
        <is>
          <t>Intensidad de diseño del circuito (I_b)</t>
        </is>
      </c>
      <c r="B25" s="42">
        <f>IF(B6="Monofásico", B8/(B7*B10), B8/(B7*B10*SQRT(3)))</f>
        <v/>
      </c>
      <c r="C25" s="17" t="inlineStr">
        <is>
          <t>Intensidad real demandada por la carga</t>
        </is>
      </c>
    </row>
    <row r="26">
      <c r="A26" s="15" t="inlineStr">
        <is>
          <t>Verificación Criterio Térmico</t>
        </is>
      </c>
      <c r="B26" s="10">
        <f>IF(AND(B25&lt;=B20, B20&lt;=B24), "CUMPLE CRITERIO", "REDIMENSIONAR CABLE")</f>
        <v/>
      </c>
      <c r="C26" s="17" t="inlineStr">
        <is>
          <t>Verifica la condición: I_b &lt;= I_n &lt;= I_adm</t>
        </is>
      </c>
    </row>
    <row r="27"/>
    <row r="28">
      <c r="A28" s="21" t="inlineStr">
        <is>
          <t>3. COMPROBACIÓN POR CORRIENTE DE CORTOCIRCUITO (F. ADIABÁTICA)</t>
        </is>
      </c>
      <c r="B28" s="15" t="n"/>
      <c r="C28" s="15" t="n"/>
    </row>
    <row r="29">
      <c r="A29" s="15" t="inlineStr">
        <is>
          <t>Intensidad de cortocircuito prevista (I_cc)</t>
        </is>
      </c>
      <c r="B29" s="26" t="n">
        <v>1500</v>
      </c>
      <c r="C29" s="17" t="inlineStr">
        <is>
          <t>Corriente transitoria de cortocircuito en el punto</t>
        </is>
      </c>
    </row>
    <row r="30">
      <c r="A30" s="15" t="inlineStr">
        <is>
          <t>Tiempo de despeje de la protección (t)</t>
        </is>
      </c>
      <c r="B30" s="43" t="n">
        <v>0.1</v>
      </c>
      <c r="C30" s="17" t="inlineStr">
        <is>
          <t>Tiempo de corte automático (t &lt;= 5s)</t>
        </is>
      </c>
    </row>
    <row r="31">
      <c r="A31" s="15" t="inlineStr">
        <is>
          <t>Constante del conductor y aislamiento (K)</t>
        </is>
      </c>
      <c r="B31" s="38">
        <f>IF(B12="Cobre", IF(B13="PVC (70°C)", 115, 143), IF(B13="PVC (70°C)", 76, 94))</f>
        <v/>
      </c>
      <c r="C31" s="17" t="inlineStr">
        <is>
          <t>UNE-HD 60364-5-54 (Cu+XLPE=143, Cu+PVC=115)</t>
        </is>
      </c>
    </row>
    <row r="32">
      <c r="A32" s="15" t="inlineStr">
        <is>
          <t>Sección mínima por cortocircuito</t>
        </is>
      </c>
      <c r="B32" s="44">
        <f>(B29*SQRT(B30))/B31</f>
        <v/>
      </c>
      <c r="C32" s="17" t="inlineStr">
        <is>
          <t>Fórmula adiabática: S = (I_cc * √t) / K</t>
        </is>
      </c>
    </row>
    <row r="33"/>
    <row r="34">
      <c r="A34" s="21" t="inlineStr">
        <is>
          <t>4. SECCIÓN DEFINITIVA DE DISEÑO REQUERIDA</t>
        </is>
      </c>
      <c r="B34" s="15" t="n"/>
      <c r="C34" s="15" t="n"/>
    </row>
    <row r="35">
      <c r="A35" s="15" t="inlineStr">
        <is>
          <t>Sección mínima definitiva requerida</t>
        </is>
      </c>
      <c r="B35" s="41">
        <f>LOOKUP(MAX(B17, B32), {0, 1.5001, 2.5001, 4.0001, 6.0001, 10.0001, 16.0001, 25.0001, 35.0001, 50.0001, 70.0001, 95.0001, 120.0001, 150.0001, 185.0001, 240.0001}, {1.5, 2.5, 4, 6, 10, 16, 25, 35, 50, 70, 95, 120, 150, 185, 240, 300})</f>
        <v/>
      </c>
      <c r="C35" s="17" t="inlineStr">
        <is>
          <t>Garantiza el cumplimiento de todos los criterios</t>
        </is>
      </c>
    </row>
  </sheetData>
  <mergeCells count="4">
    <mergeCell ref="A28:C28"/>
    <mergeCell ref="A4:C4"/>
    <mergeCell ref="A19:C19"/>
    <mergeCell ref="A34:C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</cols>
  <sheetData>
    <row r="1"/>
    <row r="2">
      <c r="A2" s="1" t="inlineStr">
        <is>
          <t>AUTOCONSUMO Y REDES DE DISTRIBUCIÓN</t>
        </is>
      </c>
    </row>
    <row r="3"/>
    <row r="4">
      <c r="A4" s="21" t="inlineStr">
        <is>
          <t>1. NÚMERO MÁXIMO DE INVERSORES EN ANTIVERTIDO (ITC-BT-40)</t>
        </is>
      </c>
      <c r="B4" s="15" t="n"/>
      <c r="C4" s="15" t="n"/>
    </row>
    <row r="5">
      <c r="A5" s="14" t="n"/>
      <c r="B5" s="14" t="n"/>
      <c r="C5" s="14" t="n"/>
    </row>
    <row r="6">
      <c r="A6" s="15" t="inlineStr">
        <is>
          <t>Tiempo de respuesta con un único generador (t1)</t>
        </is>
      </c>
      <c r="B6" s="43" t="n">
        <v>0.8</v>
      </c>
      <c r="C6" s="17" t="inlineStr">
        <is>
          <t>Máximo obtenido en los ensayos</t>
        </is>
      </c>
    </row>
    <row r="7">
      <c r="A7" s="15" t="inlineStr">
        <is>
          <t>Tiempo de respuesta con dos generadores (t2)</t>
        </is>
      </c>
      <c r="B7" s="43" t="n">
        <v>1.1</v>
      </c>
      <c r="C7" s="17" t="inlineStr">
        <is>
          <t>Ensayo con dos generadores en paralelo</t>
        </is>
      </c>
    </row>
    <row r="8">
      <c r="A8" s="15" t="inlineStr">
        <is>
          <t>Diferencia de tiempo de respuesta (t_r)</t>
        </is>
      </c>
      <c r="B8" s="45">
        <f>B7-B6</f>
        <v/>
      </c>
      <c r="C8" s="17" t="inlineStr">
        <is>
          <t>Fórmula: t_r = t2 - t1</t>
        </is>
      </c>
    </row>
    <row r="9">
      <c r="A9" s="15" t="inlineStr">
        <is>
          <t>Número máximo de generadores permitidos (N)</t>
        </is>
      </c>
      <c r="B9" s="46">
        <f>IF(B8&lt;=0, "Ilimitado (t_r &lt;= 0)", INT((2-B6)/B8 + 1))</f>
        <v/>
      </c>
      <c r="C9" s="17" t="inlineStr">
        <is>
          <t>Norma UNE 217001 (tiempo total &lt;= 2s)</t>
        </is>
      </c>
    </row>
    <row r="10"/>
    <row r="11">
      <c r="A11" s="21" t="inlineStr">
        <is>
          <t>2. INTENSIDAD MÁXIMA ADMISIBLE EN REDES AÉREAS (ITC-BT-06)</t>
        </is>
      </c>
      <c r="B11" s="15" t="n"/>
      <c r="C11" s="15" t="n"/>
    </row>
    <row r="12">
      <c r="A12" s="15" t="inlineStr">
        <is>
          <t>Sección nominal de conductores (Aluminio)</t>
        </is>
      </c>
      <c r="B12" s="47" t="n">
        <v>95</v>
      </c>
      <c r="C12" s="17" t="inlineStr">
        <is>
          <t>Con neutro fiador Almelec 54,6 mm² o acero</t>
        </is>
      </c>
    </row>
    <row r="13">
      <c r="A13" s="15" t="inlineStr">
        <is>
          <t>Tipo de instalación (Posada / Fiador de acero)</t>
        </is>
      </c>
      <c r="B13" s="8" t="inlineStr">
        <is>
          <t>Fiador de acero</t>
        </is>
      </c>
      <c r="C13" s="17" t="inlineStr">
        <is>
          <t>Establece el método de tendido</t>
        </is>
      </c>
    </row>
    <row r="14">
      <c r="A14" s="15" t="inlineStr">
        <is>
          <t>Temperatura ambiente de diseño</t>
        </is>
      </c>
      <c r="B14" s="48" t="n">
        <v>45</v>
      </c>
      <c r="C14" s="17" t="inlineStr">
        <is>
          <t>Típico en verano en zonas cálidas</t>
        </is>
      </c>
    </row>
    <row r="15">
      <c r="A15" s="15" t="inlineStr">
        <is>
          <t>Número de cables trenzados agrupados</t>
        </is>
      </c>
      <c r="B15" s="28" t="n">
        <v>1</v>
      </c>
      <c r="C15" s="17" t="inlineStr">
        <is>
          <t>Número de haces independientes en el apoyo</t>
        </is>
      </c>
    </row>
    <row r="16">
      <c r="A16" s="15" t="inlineStr">
        <is>
          <t>Exposición directa a radiación solar fuerte (Sí / No)</t>
        </is>
      </c>
      <c r="B16" s="8" t="inlineStr">
        <is>
          <t>Sí</t>
        </is>
      </c>
      <c r="C16" s="17" t="inlineStr">
        <is>
          <t>Aplica coeficiente corrector adicional de 0,9</t>
        </is>
      </c>
    </row>
    <row r="17">
      <c r="A17" s="15" t="inlineStr">
        <is>
          <t>Intensidad nominal base a 40°C (I_base)</t>
        </is>
      </c>
      <c r="B17" s="49">
        <f>IF(B13="Posada sobre fachadas", 207, 223)</f>
        <v/>
      </c>
      <c r="C17" s="17" t="inlineStr">
        <is>
          <t>Mínimos reglamentarios según Tabla 4 de la ITC-BT-06</t>
        </is>
      </c>
    </row>
    <row r="18">
      <c r="A18" s="15" t="inlineStr">
        <is>
          <t>Factor de corrección por temperatura (F_t)</t>
        </is>
      </c>
      <c r="B18" s="50">
        <f>VLOOKUP(B14, {20,1.18; 25,1.14; 30,1.10; 35,1.05; 40,1.00; 45,0.95; 50,0.90}, 2, FALSE)</f>
        <v/>
      </c>
      <c r="C18" s="17" t="inlineStr">
        <is>
          <t>Tabla 7: Aislamiento XLPE (base 40°C)</t>
        </is>
      </c>
    </row>
    <row r="19">
      <c r="A19" s="15" t="inlineStr">
        <is>
          <t>Factor de corrección por agrupamiento (F_g)</t>
        </is>
      </c>
      <c r="B19" s="50">
        <f>IF(B15=1, 1.00, IF(B15=2, 0.89, IF(B15=3, 0.80, 0.75)))</f>
        <v/>
      </c>
      <c r="C19" s="17" t="inlineStr">
        <is>
          <t>Tabla 6: Distancias reducidas entre mazos</t>
        </is>
      </c>
    </row>
    <row r="20">
      <c r="A20" s="15" t="inlineStr">
        <is>
          <t>Factor por exposición solar directa (F_s)</t>
        </is>
      </c>
      <c r="B20" s="50">
        <f>IF(B16="Sí", 0.90, 1.00)</f>
        <v/>
      </c>
      <c r="C20" s="17" t="inlineStr">
        <is>
          <t>Guía Técnica: Coeficiente de 0.90 o inferior</t>
        </is>
      </c>
    </row>
    <row r="21">
      <c r="A21" s="15" t="inlineStr">
        <is>
          <t>Intensidad máxima admisible corregida (I_adm)</t>
        </is>
      </c>
      <c r="B21" s="51">
        <f>B17*B18*B19*B20</f>
        <v/>
      </c>
      <c r="C21" s="17" t="inlineStr">
        <is>
          <t>Máxima intensidad admisible en servicio permanente</t>
        </is>
      </c>
    </row>
  </sheetData>
  <mergeCells count="2">
    <mergeCell ref="A4:C4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2026-08-10T23:45:54Z</dcterms:created>
  <dcterms:modified xmlns:dcterms="http://purl.org/dc/terms/" xmlns:xsi="http://www.w3.org/2001/XMLSchema-instance" xsi:type="dcterms:W3CDTF">2026-08-10T23:45:54Z</dcterms:modified>
</cp:coreProperties>
</file>